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ujadiv\Desktop\Team\Automations\JBG\jewels-by-geetika\business\"/>
    </mc:Choice>
  </mc:AlternateContent>
  <xr:revisionPtr revIDLastSave="0" documentId="13_ncr:1_{0A2AB4CB-51E2-4FB5-8E49-ADB13FC5C6B9}" xr6:coauthVersionLast="47" xr6:coauthVersionMax="47" xr10:uidLastSave="{00000000-0000-0000-0000-000000000000}"/>
  <bookViews>
    <workbookView xWindow="28680" yWindow="-120" windowWidth="29040" windowHeight="15720" activeTab="1" xr2:uid="{68BF2D20-07EA-4E2C-B5AF-3720521CC247}"/>
  </bookViews>
  <sheets>
    <sheet name="inventory-ledger" sheetId="1" r:id="rId1"/>
    <sheet name="Box Siz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3" i="1" l="1"/>
  <c r="H23" i="1"/>
  <c r="J23" i="1" s="1"/>
  <c r="M22" i="1"/>
  <c r="H22" i="1"/>
  <c r="J22" i="1" s="1"/>
  <c r="A23" i="1"/>
  <c r="A22" i="1"/>
  <c r="M21" i="1"/>
  <c r="H21" i="1"/>
  <c r="J21" i="1" s="1"/>
  <c r="A21" i="1"/>
  <c r="M20" i="1"/>
  <c r="H20" i="1"/>
  <c r="J20" i="1" s="1"/>
  <c r="A20" i="1"/>
  <c r="M19" i="1"/>
  <c r="H19" i="1"/>
  <c r="J19" i="1" s="1"/>
  <c r="A19" i="1"/>
  <c r="M18" i="1"/>
  <c r="H18" i="1"/>
  <c r="J18" i="1" s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H17" i="1"/>
  <c r="J17" i="1" s="1"/>
  <c r="H16" i="1"/>
  <c r="J16" i="1" s="1"/>
  <c r="H15" i="1"/>
  <c r="J15" i="1" s="1"/>
  <c r="H14" i="1"/>
  <c r="J14" i="1" s="1"/>
  <c r="A14" i="1"/>
  <c r="A15" i="1" s="1"/>
  <c r="A16" i="1" s="1"/>
  <c r="A17" i="1" s="1"/>
  <c r="A18" i="1" s="1"/>
  <c r="H13" i="1"/>
  <c r="J13" i="1" s="1"/>
  <c r="H12" i="1"/>
  <c r="J12" i="1" s="1"/>
  <c r="H11" i="1"/>
  <c r="J11" i="1" s="1"/>
  <c r="H10" i="1"/>
  <c r="J10" i="1" s="1"/>
  <c r="H9" i="1"/>
  <c r="J9" i="1" s="1"/>
  <c r="H8" i="1"/>
  <c r="J8" i="1" s="1"/>
  <c r="H7" i="1"/>
  <c r="J7" i="1" s="1"/>
  <c r="H6" i="1"/>
  <c r="J6" i="1" s="1"/>
  <c r="H5" i="1"/>
  <c r="J5" i="1" s="1"/>
  <c r="H4" i="1"/>
  <c r="J4" i="1" s="1"/>
  <c r="H3" i="1"/>
  <c r="J3" i="1" s="1"/>
  <c r="H2" i="1"/>
  <c r="J2" i="1" s="1"/>
</calcChain>
</file>

<file path=xl/sharedStrings.xml><?xml version="1.0" encoding="utf-8"?>
<sst xmlns="http://schemas.openxmlformats.org/spreadsheetml/2006/main" count="149" uniqueCount="94">
  <si>
    <t>Product ID</t>
  </si>
  <si>
    <t>Product Name</t>
  </si>
  <si>
    <t>Category</t>
  </si>
  <si>
    <t>Supplier</t>
  </si>
  <si>
    <t>Supplier Cost (â‚¹)</t>
  </si>
  <si>
    <t>Packaging Cost (â‚¹)</t>
  </si>
  <si>
    <t>Shipping Cost (â‚¹)</t>
  </si>
  <si>
    <t>Total Cost (â‚¹)</t>
  </si>
  <si>
    <t>Markup Multiplier</t>
  </si>
  <si>
    <t>Selling Price (â‚¹)</t>
  </si>
  <si>
    <t>Stock Quantity</t>
  </si>
  <si>
    <t>Sold Quantity</t>
  </si>
  <si>
    <t>Available Stock</t>
  </si>
  <si>
    <t>Status</t>
  </si>
  <si>
    <t>SKU</t>
  </si>
  <si>
    <t>JBG-001</t>
  </si>
  <si>
    <t>Necklaces</t>
  </si>
  <si>
    <t>Naveen Collections</t>
  </si>
  <si>
    <t>Available</t>
  </si>
  <si>
    <t>JBG-NCK-001</t>
  </si>
  <si>
    <t>JBG-002</t>
  </si>
  <si>
    <t>JBG-NCK-002</t>
  </si>
  <si>
    <t>JBG-003</t>
  </si>
  <si>
    <t>JBG-004</t>
  </si>
  <si>
    <t>JBG-005</t>
  </si>
  <si>
    <t>Kaveri</t>
  </si>
  <si>
    <t>Raahi</t>
  </si>
  <si>
    <t>Saanjh</t>
  </si>
  <si>
    <t>Adaa</t>
  </si>
  <si>
    <t>AD - Pendant</t>
  </si>
  <si>
    <t>JBG-NCK-003</t>
  </si>
  <si>
    <t>JBG-ADP-001</t>
  </si>
  <si>
    <t>Ruhani</t>
  </si>
  <si>
    <t>Gems &amp; Jewels</t>
  </si>
  <si>
    <t>JBG-ADP-002</t>
  </si>
  <si>
    <t>Kanak</t>
  </si>
  <si>
    <t>JBG-006</t>
  </si>
  <si>
    <t>JBG-NCK-004</t>
  </si>
  <si>
    <t>Virasat</t>
  </si>
  <si>
    <t>JBG-007</t>
  </si>
  <si>
    <t>Ring</t>
  </si>
  <si>
    <t>JBG-RNG-001</t>
  </si>
  <si>
    <t>JBG-008</t>
  </si>
  <si>
    <t>Sunehri</t>
  </si>
  <si>
    <t>JBG-RNG-002</t>
  </si>
  <si>
    <t>Antara</t>
  </si>
  <si>
    <t>JBG-009</t>
  </si>
  <si>
    <t>Temple Jewellery</t>
  </si>
  <si>
    <t>JBG-TMJ-001</t>
  </si>
  <si>
    <t>JBG-010</t>
  </si>
  <si>
    <t>Chandni</t>
  </si>
  <si>
    <t>JBG-011</t>
  </si>
  <si>
    <t>Rajsi</t>
  </si>
  <si>
    <t>JBG-ADP-003</t>
  </si>
  <si>
    <t>AD - Necklace</t>
  </si>
  <si>
    <t>JBG-ADN-001</t>
  </si>
  <si>
    <t>JBG-012</t>
  </si>
  <si>
    <t>Bella</t>
  </si>
  <si>
    <t>AT-Necklace</t>
  </si>
  <si>
    <t>Blossom</t>
  </si>
  <si>
    <t>Ziya</t>
  </si>
  <si>
    <t>Iris</t>
  </si>
  <si>
    <t>Grace</t>
  </si>
  <si>
    <t>AT-Earrings</t>
  </si>
  <si>
    <t>JBG-ATN-001</t>
  </si>
  <si>
    <t>JBG-ATE-001</t>
  </si>
  <si>
    <t>JBG-ATN-002</t>
  </si>
  <si>
    <t>JBG-ATE-002</t>
  </si>
  <si>
    <t>JBG-ATE-003</t>
  </si>
  <si>
    <t>Golden Lobster</t>
  </si>
  <si>
    <t>JBG-ATN-003</t>
  </si>
  <si>
    <t>Hope</t>
  </si>
  <si>
    <t>Luna</t>
  </si>
  <si>
    <t>JBG-ATN-004</t>
  </si>
  <si>
    <t>Lily</t>
  </si>
  <si>
    <t>JBG-ATN-005</t>
  </si>
  <si>
    <t>JBG-ATN-006</t>
  </si>
  <si>
    <t>Daisy</t>
  </si>
  <si>
    <t>Zahara</t>
  </si>
  <si>
    <t>AT-Bracelet</t>
  </si>
  <si>
    <t>JBG-ATB-001</t>
  </si>
  <si>
    <t>JBG-ATB-002</t>
  </si>
  <si>
    <t>Box</t>
  </si>
  <si>
    <t>Inches</t>
  </si>
  <si>
    <t>Centimeters</t>
  </si>
  <si>
    <t>Large</t>
  </si>
  <si>
    <t>10 × 7 × 3</t>
  </si>
  <si>
    <t>25 × 18 × 8</t>
  </si>
  <si>
    <t>Medium</t>
  </si>
  <si>
    <t>6 × 4 × 3</t>
  </si>
  <si>
    <t>15 × 10 × 8</t>
  </si>
  <si>
    <t>Small</t>
  </si>
  <si>
    <t>4 × 3 × 2</t>
  </si>
  <si>
    <t>10 × 8 ×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</si>
</sst>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6" fillId="3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8" fillId="3" borderId="0" xfId="7" applyFont="1" applyAlignment="1">
      <alignment horizontal="center" vertical="center" wrapText="1"/>
    </xf>
    <xf numFmtId="0" fontId="18" fillId="4" borderId="0" xfId="8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98BD1-4979-45B2-A4A1-1CB48783F5EE}">
  <dimension ref="A1:O56"/>
  <sheetViews>
    <sheetView workbookViewId="0">
      <pane ySplit="1" topLeftCell="A2" activePane="bottomLeft" state="frozen"/>
      <selection pane="bottomLeft" activeCell="S6" sqref="S6"/>
    </sheetView>
  </sheetViews>
  <sheetFormatPr defaultColWidth="9.77734375" defaultRowHeight="14.4" x14ac:dyDescent="0.3"/>
  <cols>
    <col min="1" max="16384" width="9.77734375" style="1"/>
  </cols>
  <sheetData>
    <row r="1" spans="1:15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60" customHeight="1" x14ac:dyDescent="0.3">
      <c r="A2" s="1" t="s">
        <v>15</v>
      </c>
      <c r="B2" s="3" t="s">
        <v>25</v>
      </c>
      <c r="C2" s="1" t="s">
        <v>16</v>
      </c>
      <c r="D2" s="1" t="s">
        <v>17</v>
      </c>
      <c r="E2" s="1">
        <v>450</v>
      </c>
      <c r="F2" s="1">
        <v>50</v>
      </c>
      <c r="G2" s="1">
        <v>150</v>
      </c>
      <c r="H2" s="1">
        <f t="shared" ref="H2:H12" si="0">SUM(E2:G2)</f>
        <v>650</v>
      </c>
      <c r="I2" s="1">
        <v>3</v>
      </c>
      <c r="J2" s="1">
        <f t="shared" ref="J2:J12" si="1">ROUNDUP((H2*I2)/500,0)*500-1</f>
        <v>1999</v>
      </c>
      <c r="K2" s="1">
        <v>2</v>
      </c>
      <c r="M2" s="1">
        <f>K2-L2</f>
        <v>2</v>
      </c>
      <c r="N2" s="1" t="s">
        <v>18</v>
      </c>
      <c r="O2" s="1" t="s">
        <v>19</v>
      </c>
    </row>
    <row r="3" spans="1:15" ht="60" customHeight="1" x14ac:dyDescent="0.3">
      <c r="A3" s="1" t="s">
        <v>20</v>
      </c>
      <c r="B3" s="3" t="s">
        <v>26</v>
      </c>
      <c r="C3" s="1" t="s">
        <v>16</v>
      </c>
      <c r="D3" s="1" t="s">
        <v>17</v>
      </c>
      <c r="E3" s="1">
        <v>1240</v>
      </c>
      <c r="F3" s="1">
        <v>50</v>
      </c>
      <c r="G3" s="1">
        <v>150</v>
      </c>
      <c r="H3" s="1">
        <f t="shared" si="0"/>
        <v>1440</v>
      </c>
      <c r="I3" s="1">
        <v>3</v>
      </c>
      <c r="J3" s="1">
        <f t="shared" si="1"/>
        <v>4499</v>
      </c>
      <c r="K3" s="1">
        <v>1</v>
      </c>
      <c r="M3" s="1">
        <f t="shared" ref="M3:M17" si="2">K3-L3</f>
        <v>1</v>
      </c>
      <c r="N3" s="1" t="s">
        <v>18</v>
      </c>
      <c r="O3" s="1" t="s">
        <v>21</v>
      </c>
    </row>
    <row r="4" spans="1:15" ht="60" customHeight="1" x14ac:dyDescent="0.3">
      <c r="A4" s="1" t="s">
        <v>22</v>
      </c>
      <c r="B4" s="3" t="s">
        <v>27</v>
      </c>
      <c r="C4" s="1" t="s">
        <v>16</v>
      </c>
      <c r="D4" s="1" t="s">
        <v>17</v>
      </c>
      <c r="E4" s="1">
        <v>1495</v>
      </c>
      <c r="F4" s="1">
        <v>50</v>
      </c>
      <c r="G4" s="1">
        <v>150</v>
      </c>
      <c r="H4" s="1">
        <f t="shared" si="0"/>
        <v>1695</v>
      </c>
      <c r="I4" s="1">
        <v>3</v>
      </c>
      <c r="J4" s="1">
        <f t="shared" si="1"/>
        <v>5499</v>
      </c>
      <c r="K4" s="1">
        <v>2</v>
      </c>
      <c r="M4" s="1">
        <f t="shared" si="2"/>
        <v>2</v>
      </c>
      <c r="N4" s="1" t="s">
        <v>18</v>
      </c>
      <c r="O4" s="1" t="s">
        <v>30</v>
      </c>
    </row>
    <row r="5" spans="1:15" ht="60" customHeight="1" x14ac:dyDescent="0.3">
      <c r="A5" s="1" t="s">
        <v>23</v>
      </c>
      <c r="B5" s="3" t="s">
        <v>28</v>
      </c>
      <c r="C5" s="1" t="s">
        <v>29</v>
      </c>
      <c r="D5" s="1" t="s">
        <v>17</v>
      </c>
      <c r="E5" s="1">
        <v>1134</v>
      </c>
      <c r="F5" s="1">
        <v>30</v>
      </c>
      <c r="G5" s="1">
        <v>150</v>
      </c>
      <c r="H5" s="1">
        <f t="shared" si="0"/>
        <v>1314</v>
      </c>
      <c r="I5" s="1">
        <v>3</v>
      </c>
      <c r="J5" s="1">
        <f t="shared" si="1"/>
        <v>3999</v>
      </c>
      <c r="K5" s="1">
        <v>2</v>
      </c>
      <c r="M5" s="1">
        <f t="shared" si="2"/>
        <v>2</v>
      </c>
      <c r="N5" s="1" t="s">
        <v>18</v>
      </c>
      <c r="O5" s="1" t="s">
        <v>31</v>
      </c>
    </row>
    <row r="6" spans="1:15" ht="60" customHeight="1" x14ac:dyDescent="0.3">
      <c r="A6" s="1" t="s">
        <v>24</v>
      </c>
      <c r="B6" s="1" t="s">
        <v>32</v>
      </c>
      <c r="C6" s="1" t="s">
        <v>29</v>
      </c>
      <c r="D6" s="1" t="s">
        <v>33</v>
      </c>
      <c r="E6" s="1">
        <v>2100</v>
      </c>
      <c r="F6" s="1">
        <v>30</v>
      </c>
      <c r="G6" s="1">
        <v>150</v>
      </c>
      <c r="H6" s="1">
        <f t="shared" si="0"/>
        <v>2280</v>
      </c>
      <c r="I6" s="1">
        <v>1.75</v>
      </c>
      <c r="J6" s="1">
        <f t="shared" si="1"/>
        <v>3999</v>
      </c>
      <c r="K6" s="1">
        <v>2</v>
      </c>
      <c r="M6" s="1">
        <f t="shared" si="2"/>
        <v>2</v>
      </c>
      <c r="N6" s="1" t="s">
        <v>18</v>
      </c>
      <c r="O6" s="1" t="s">
        <v>34</v>
      </c>
    </row>
    <row r="7" spans="1:15" ht="60" customHeight="1" x14ac:dyDescent="0.3">
      <c r="A7" s="1" t="s">
        <v>36</v>
      </c>
      <c r="B7" s="1" t="s">
        <v>35</v>
      </c>
      <c r="C7" s="1" t="s">
        <v>16</v>
      </c>
      <c r="D7" s="1" t="s">
        <v>17</v>
      </c>
      <c r="E7" s="1">
        <v>472</v>
      </c>
      <c r="F7" s="1">
        <v>50</v>
      </c>
      <c r="G7" s="1">
        <v>150</v>
      </c>
      <c r="H7" s="1">
        <f t="shared" si="0"/>
        <v>672</v>
      </c>
      <c r="I7" s="1">
        <v>3</v>
      </c>
      <c r="J7" s="1">
        <f t="shared" si="1"/>
        <v>2499</v>
      </c>
      <c r="K7" s="1">
        <v>2</v>
      </c>
      <c r="M7" s="1">
        <f t="shared" si="2"/>
        <v>2</v>
      </c>
      <c r="N7" s="1" t="s">
        <v>18</v>
      </c>
      <c r="O7" s="1" t="s">
        <v>37</v>
      </c>
    </row>
    <row r="8" spans="1:15" ht="60" customHeight="1" x14ac:dyDescent="0.3">
      <c r="A8" s="4" t="s">
        <v>39</v>
      </c>
      <c r="B8" s="4" t="s">
        <v>38</v>
      </c>
      <c r="C8" s="4" t="s">
        <v>40</v>
      </c>
      <c r="D8" s="4" t="s">
        <v>17</v>
      </c>
      <c r="E8" s="4">
        <v>71</v>
      </c>
      <c r="F8" s="4">
        <v>50</v>
      </c>
      <c r="G8" s="4">
        <v>150</v>
      </c>
      <c r="H8" s="4">
        <f t="shared" si="0"/>
        <v>271</v>
      </c>
      <c r="I8" s="4">
        <v>3</v>
      </c>
      <c r="J8" s="4">
        <f t="shared" si="1"/>
        <v>999</v>
      </c>
      <c r="K8" s="4">
        <v>1</v>
      </c>
      <c r="L8" s="4">
        <v>1</v>
      </c>
      <c r="M8" s="4">
        <f t="shared" si="2"/>
        <v>0</v>
      </c>
      <c r="N8" s="4" t="s">
        <v>18</v>
      </c>
      <c r="O8" s="4" t="s">
        <v>41</v>
      </c>
    </row>
    <row r="9" spans="1:15" ht="60" customHeight="1" x14ac:dyDescent="0.3">
      <c r="A9" s="1" t="s">
        <v>42</v>
      </c>
      <c r="B9" s="1" t="s">
        <v>43</v>
      </c>
      <c r="C9" s="1" t="s">
        <v>40</v>
      </c>
      <c r="D9" s="1" t="s">
        <v>17</v>
      </c>
      <c r="E9" s="1">
        <v>110</v>
      </c>
      <c r="F9" s="1">
        <v>50</v>
      </c>
      <c r="G9" s="1">
        <v>150</v>
      </c>
      <c r="H9" s="1">
        <f t="shared" si="0"/>
        <v>310</v>
      </c>
      <c r="I9" s="1">
        <v>3</v>
      </c>
      <c r="J9" s="1">
        <f t="shared" si="1"/>
        <v>999</v>
      </c>
      <c r="K9" s="1">
        <v>2</v>
      </c>
      <c r="M9" s="1">
        <f t="shared" si="2"/>
        <v>2</v>
      </c>
      <c r="N9" s="1" t="s">
        <v>18</v>
      </c>
      <c r="O9" s="1" t="s">
        <v>44</v>
      </c>
    </row>
    <row r="10" spans="1:15" ht="60" customHeight="1" x14ac:dyDescent="0.3">
      <c r="A10" s="1" t="s">
        <v>46</v>
      </c>
      <c r="B10" s="1" t="s">
        <v>45</v>
      </c>
      <c r="C10" s="1" t="s">
        <v>47</v>
      </c>
      <c r="D10" s="1" t="s">
        <v>17</v>
      </c>
      <c r="E10" s="1">
        <v>1070</v>
      </c>
      <c r="F10" s="1">
        <v>50</v>
      </c>
      <c r="G10" s="1">
        <v>150</v>
      </c>
      <c r="H10" s="1">
        <f t="shared" si="0"/>
        <v>1270</v>
      </c>
      <c r="I10" s="1">
        <v>3</v>
      </c>
      <c r="J10" s="1">
        <f t="shared" si="1"/>
        <v>3999</v>
      </c>
      <c r="K10" s="1">
        <v>2</v>
      </c>
      <c r="M10" s="1">
        <f t="shared" si="2"/>
        <v>2</v>
      </c>
      <c r="N10" s="1" t="s">
        <v>18</v>
      </c>
      <c r="O10" s="1" t="s">
        <v>48</v>
      </c>
    </row>
    <row r="11" spans="1:15" ht="60" customHeight="1" x14ac:dyDescent="0.3">
      <c r="A11" s="1" t="s">
        <v>49</v>
      </c>
      <c r="B11" s="1" t="s">
        <v>50</v>
      </c>
      <c r="C11" s="1" t="s">
        <v>29</v>
      </c>
      <c r="D11" s="1" t="s">
        <v>17</v>
      </c>
      <c r="E11" s="1">
        <v>1069</v>
      </c>
      <c r="F11" s="1">
        <v>50</v>
      </c>
      <c r="G11" s="1">
        <v>150</v>
      </c>
      <c r="H11" s="1">
        <f t="shared" si="0"/>
        <v>1269</v>
      </c>
      <c r="I11" s="1">
        <v>3</v>
      </c>
      <c r="J11" s="1">
        <f t="shared" si="1"/>
        <v>3999</v>
      </c>
      <c r="K11" s="1">
        <v>2</v>
      </c>
      <c r="M11" s="1">
        <f t="shared" si="2"/>
        <v>2</v>
      </c>
      <c r="N11" s="1" t="s">
        <v>18</v>
      </c>
      <c r="O11" s="1" t="s">
        <v>53</v>
      </c>
    </row>
    <row r="12" spans="1:15" ht="60" customHeight="1" x14ac:dyDescent="0.3">
      <c r="A12" s="1" t="s">
        <v>51</v>
      </c>
      <c r="B12" s="1" t="s">
        <v>52</v>
      </c>
      <c r="C12" s="1" t="s">
        <v>54</v>
      </c>
      <c r="D12" s="1" t="s">
        <v>17</v>
      </c>
      <c r="E12" s="1">
        <v>654</v>
      </c>
      <c r="F12" s="1">
        <v>50</v>
      </c>
      <c r="G12" s="1">
        <v>150</v>
      </c>
      <c r="H12" s="1">
        <f t="shared" si="0"/>
        <v>854</v>
      </c>
      <c r="I12" s="1">
        <v>3</v>
      </c>
      <c r="J12" s="1">
        <f t="shared" si="1"/>
        <v>2999</v>
      </c>
      <c r="K12" s="1">
        <v>2</v>
      </c>
      <c r="M12" s="1">
        <f t="shared" si="2"/>
        <v>2</v>
      </c>
      <c r="N12" s="1" t="s">
        <v>18</v>
      </c>
      <c r="O12" s="1" t="s">
        <v>55</v>
      </c>
    </row>
    <row r="13" spans="1:15" ht="60" customHeight="1" x14ac:dyDescent="0.3">
      <c r="A13" s="1" t="s">
        <v>56</v>
      </c>
      <c r="B13" s="1" t="s">
        <v>57</v>
      </c>
      <c r="C13" s="1" t="s">
        <v>58</v>
      </c>
      <c r="D13" s="1" t="s">
        <v>17</v>
      </c>
      <c r="E13" s="1">
        <v>456</v>
      </c>
      <c r="F13" s="1">
        <v>50</v>
      </c>
      <c r="G13" s="1">
        <v>150</v>
      </c>
      <c r="H13" s="1">
        <f t="shared" ref="H13" si="3">SUM(E13:G13)</f>
        <v>656</v>
      </c>
      <c r="I13" s="1">
        <v>3</v>
      </c>
      <c r="J13" s="1">
        <f t="shared" ref="J13" si="4">ROUNDUP((H13*I13)/500,0)*500-1</f>
        <v>1999</v>
      </c>
      <c r="K13" s="1">
        <v>2</v>
      </c>
      <c r="M13" s="1">
        <f t="shared" si="2"/>
        <v>2</v>
      </c>
      <c r="N13" s="1" t="s">
        <v>18</v>
      </c>
      <c r="O13" s="1" t="s">
        <v>64</v>
      </c>
    </row>
    <row r="14" spans="1:15" ht="60" customHeight="1" x14ac:dyDescent="0.3">
      <c r="A14" s="1" t="str">
        <f t="shared" ref="A14:A23" si="5">LEFT(A13,4)&amp;TEXT(RIGHT(A13,3)+1,"000")</f>
        <v>JBG-013</v>
      </c>
      <c r="B14" s="1" t="s">
        <v>59</v>
      </c>
      <c r="C14" s="1" t="s">
        <v>58</v>
      </c>
      <c r="D14" s="1" t="s">
        <v>17</v>
      </c>
      <c r="E14" s="1">
        <v>145</v>
      </c>
      <c r="F14" s="1">
        <v>50</v>
      </c>
      <c r="G14" s="1">
        <v>150</v>
      </c>
      <c r="H14" s="1">
        <f t="shared" ref="H14:H17" si="6">SUM(E14:G14)</f>
        <v>345</v>
      </c>
      <c r="I14" s="1">
        <v>3</v>
      </c>
      <c r="J14" s="1">
        <f t="shared" ref="J14:J17" si="7">ROUNDUP((H14*I14)/500,0)*500-1</f>
        <v>1499</v>
      </c>
      <c r="K14" s="1">
        <v>2</v>
      </c>
      <c r="M14" s="1">
        <f t="shared" si="2"/>
        <v>2</v>
      </c>
      <c r="N14" s="1" t="s">
        <v>18</v>
      </c>
      <c r="O14" s="1" t="s">
        <v>66</v>
      </c>
    </row>
    <row r="15" spans="1:15" ht="60" customHeight="1" x14ac:dyDescent="0.3">
      <c r="A15" s="1" t="str">
        <f t="shared" si="5"/>
        <v>JBG-014</v>
      </c>
      <c r="B15" s="1" t="s">
        <v>60</v>
      </c>
      <c r="C15" s="1" t="s">
        <v>63</v>
      </c>
      <c r="D15" s="1" t="s">
        <v>17</v>
      </c>
      <c r="E15" s="1">
        <v>380</v>
      </c>
      <c r="F15" s="1">
        <v>50</v>
      </c>
      <c r="G15" s="1">
        <v>150</v>
      </c>
      <c r="H15" s="1">
        <f t="shared" si="6"/>
        <v>580</v>
      </c>
      <c r="I15" s="1">
        <v>2.5</v>
      </c>
      <c r="J15" s="1">
        <f t="shared" si="7"/>
        <v>1499</v>
      </c>
      <c r="K15" s="1">
        <v>2</v>
      </c>
      <c r="M15" s="1">
        <f t="shared" si="2"/>
        <v>2</v>
      </c>
      <c r="N15" s="1" t="s">
        <v>18</v>
      </c>
      <c r="O15" s="1" t="s">
        <v>65</v>
      </c>
    </row>
    <row r="16" spans="1:15" ht="60" customHeight="1" x14ac:dyDescent="0.3">
      <c r="A16" s="5" t="str">
        <f t="shared" si="5"/>
        <v>JBG-015</v>
      </c>
      <c r="B16" s="5" t="s">
        <v>61</v>
      </c>
      <c r="C16" s="5" t="s">
        <v>63</v>
      </c>
      <c r="D16" s="5" t="s">
        <v>17</v>
      </c>
      <c r="E16" s="5">
        <v>480</v>
      </c>
      <c r="F16" s="5">
        <v>50</v>
      </c>
      <c r="G16" s="5">
        <v>150</v>
      </c>
      <c r="H16" s="5">
        <f t="shared" si="6"/>
        <v>680</v>
      </c>
      <c r="I16" s="5">
        <v>2.5</v>
      </c>
      <c r="J16" s="5">
        <f t="shared" si="7"/>
        <v>1999</v>
      </c>
      <c r="K16" s="5">
        <v>2</v>
      </c>
      <c r="L16" s="5">
        <v>1</v>
      </c>
      <c r="M16" s="5">
        <f t="shared" si="2"/>
        <v>1</v>
      </c>
      <c r="N16" s="5" t="s">
        <v>18</v>
      </c>
      <c r="O16" s="5" t="s">
        <v>67</v>
      </c>
    </row>
    <row r="17" spans="1:15" ht="60" customHeight="1" x14ac:dyDescent="0.3">
      <c r="A17" s="1" t="str">
        <f t="shared" si="5"/>
        <v>JBG-016</v>
      </c>
      <c r="B17" s="1" t="s">
        <v>62</v>
      </c>
      <c r="C17" s="1" t="s">
        <v>63</v>
      </c>
      <c r="D17" s="1" t="s">
        <v>17</v>
      </c>
      <c r="E17" s="1">
        <v>425</v>
      </c>
      <c r="F17" s="1">
        <v>50</v>
      </c>
      <c r="G17" s="1">
        <v>150</v>
      </c>
      <c r="H17" s="1">
        <f t="shared" si="6"/>
        <v>625</v>
      </c>
      <c r="I17" s="1">
        <v>2</v>
      </c>
      <c r="J17" s="1">
        <f t="shared" si="7"/>
        <v>1499</v>
      </c>
      <c r="K17" s="1">
        <v>1</v>
      </c>
      <c r="M17" s="1">
        <f t="shared" si="2"/>
        <v>1</v>
      </c>
      <c r="N17" s="1" t="s">
        <v>18</v>
      </c>
      <c r="O17" s="1" t="s">
        <v>68</v>
      </c>
    </row>
    <row r="18" spans="1:15" ht="60" customHeight="1" x14ac:dyDescent="0.3">
      <c r="A18" s="1" t="str">
        <f t="shared" si="5"/>
        <v>JBG-017</v>
      </c>
      <c r="B18" s="1" t="s">
        <v>69</v>
      </c>
      <c r="C18" s="1" t="s">
        <v>58</v>
      </c>
      <c r="D18" s="1" t="s">
        <v>17</v>
      </c>
      <c r="E18" s="1">
        <v>768</v>
      </c>
      <c r="F18" s="1">
        <v>50</v>
      </c>
      <c r="G18" s="1">
        <v>150</v>
      </c>
      <c r="H18" s="1">
        <f t="shared" ref="H18" si="8">SUM(E18:G18)</f>
        <v>968</v>
      </c>
      <c r="I18" s="1">
        <v>3</v>
      </c>
      <c r="J18" s="1">
        <f t="shared" ref="J18" si="9">ROUNDUP((H18*I18)/500,0)*500-1</f>
        <v>2999</v>
      </c>
      <c r="K18" s="1">
        <v>2</v>
      </c>
      <c r="M18" s="1">
        <f t="shared" ref="M18" si="10">K18-L18</f>
        <v>2</v>
      </c>
      <c r="N18" s="1" t="s">
        <v>18</v>
      </c>
      <c r="O18" s="1" t="s">
        <v>70</v>
      </c>
    </row>
    <row r="19" spans="1:15" ht="60" customHeight="1" x14ac:dyDescent="0.3">
      <c r="A19" s="1" t="str">
        <f t="shared" si="5"/>
        <v>JBG-018</v>
      </c>
      <c r="B19" s="1" t="s">
        <v>71</v>
      </c>
      <c r="C19" s="1" t="s">
        <v>58</v>
      </c>
      <c r="D19" s="1" t="s">
        <v>17</v>
      </c>
      <c r="E19" s="1">
        <v>516</v>
      </c>
      <c r="F19" s="1">
        <v>50</v>
      </c>
      <c r="G19" s="1">
        <v>150</v>
      </c>
      <c r="H19" s="1">
        <f t="shared" ref="H19" si="11">SUM(E19:G19)</f>
        <v>716</v>
      </c>
      <c r="I19" s="1">
        <v>3</v>
      </c>
      <c r="J19" s="1">
        <f t="shared" ref="J19" si="12">ROUNDUP((H19*I19)/500,0)*500-1</f>
        <v>2499</v>
      </c>
      <c r="K19" s="1">
        <v>2</v>
      </c>
      <c r="M19" s="1">
        <f t="shared" ref="M19" si="13">K19-L19</f>
        <v>2</v>
      </c>
      <c r="N19" s="1" t="s">
        <v>18</v>
      </c>
      <c r="O19" s="1" t="s">
        <v>73</v>
      </c>
    </row>
    <row r="20" spans="1:15" ht="60" customHeight="1" x14ac:dyDescent="0.3">
      <c r="A20" s="1" t="str">
        <f t="shared" si="5"/>
        <v>JBG-019</v>
      </c>
      <c r="B20" s="1" t="s">
        <v>72</v>
      </c>
      <c r="C20" s="1" t="s">
        <v>58</v>
      </c>
      <c r="D20" s="1" t="s">
        <v>17</v>
      </c>
      <c r="E20" s="1">
        <v>135</v>
      </c>
      <c r="F20" s="1">
        <v>50</v>
      </c>
      <c r="G20" s="1">
        <v>150</v>
      </c>
      <c r="H20" s="1">
        <f t="shared" ref="H20" si="14">SUM(E20:G20)</f>
        <v>335</v>
      </c>
      <c r="I20" s="1">
        <v>3</v>
      </c>
      <c r="J20" s="1">
        <f t="shared" ref="J20" si="15">ROUNDUP((H20*I20)/500,0)*500-1</f>
        <v>1499</v>
      </c>
      <c r="K20" s="1">
        <v>2</v>
      </c>
      <c r="M20" s="1">
        <f t="shared" ref="M20" si="16">K20-L20</f>
        <v>2</v>
      </c>
      <c r="N20" s="1" t="s">
        <v>18</v>
      </c>
      <c r="O20" s="1" t="s">
        <v>75</v>
      </c>
    </row>
    <row r="21" spans="1:15" ht="60" customHeight="1" x14ac:dyDescent="0.3">
      <c r="A21" s="1" t="str">
        <f t="shared" si="5"/>
        <v>JBG-020</v>
      </c>
      <c r="B21" s="1" t="s">
        <v>74</v>
      </c>
      <c r="C21" s="1" t="s">
        <v>58</v>
      </c>
      <c r="D21" s="1" t="s">
        <v>17</v>
      </c>
      <c r="E21" s="1">
        <v>135</v>
      </c>
      <c r="F21" s="1">
        <v>50</v>
      </c>
      <c r="G21" s="1">
        <v>150</v>
      </c>
      <c r="H21" s="1">
        <f t="shared" ref="H21" si="17">SUM(E21:G21)</f>
        <v>335</v>
      </c>
      <c r="I21" s="1">
        <v>3</v>
      </c>
      <c r="J21" s="1">
        <f t="shared" ref="J21" si="18">ROUNDUP((H21*I21)/500,0)*500-1</f>
        <v>1499</v>
      </c>
      <c r="K21" s="1">
        <v>2</v>
      </c>
      <c r="M21" s="1">
        <f t="shared" ref="M21" si="19">K21-L21</f>
        <v>2</v>
      </c>
      <c r="N21" s="1" t="s">
        <v>18</v>
      </c>
      <c r="O21" s="1" t="s">
        <v>76</v>
      </c>
    </row>
    <row r="22" spans="1:15" ht="60" customHeight="1" x14ac:dyDescent="0.3">
      <c r="A22" s="1" t="str">
        <f t="shared" si="5"/>
        <v>JBG-021</v>
      </c>
      <c r="B22" s="1" t="s">
        <v>77</v>
      </c>
      <c r="C22" s="1" t="s">
        <v>79</v>
      </c>
      <c r="D22" s="1" t="s">
        <v>17</v>
      </c>
      <c r="E22" s="1">
        <v>160</v>
      </c>
      <c r="F22" s="1">
        <v>50</v>
      </c>
      <c r="G22" s="1">
        <v>150</v>
      </c>
      <c r="H22" s="1">
        <f t="shared" ref="H22:H23" si="20">SUM(E22:G22)</f>
        <v>360</v>
      </c>
      <c r="I22" s="1">
        <v>3</v>
      </c>
      <c r="J22" s="1">
        <f t="shared" ref="J22:J23" si="21">ROUNDUP((H22*I22)/500,0)*500-1</f>
        <v>1499</v>
      </c>
      <c r="K22" s="1">
        <v>2</v>
      </c>
      <c r="M22" s="1">
        <f t="shared" ref="M22:M23" si="22">K22-L22</f>
        <v>2</v>
      </c>
      <c r="N22" s="1" t="s">
        <v>18</v>
      </c>
      <c r="O22" s="1" t="s">
        <v>80</v>
      </c>
    </row>
    <row r="23" spans="1:15" ht="60" customHeight="1" x14ac:dyDescent="0.3">
      <c r="A23" s="1" t="str">
        <f t="shared" si="5"/>
        <v>JBG-022</v>
      </c>
      <c r="B23" s="1" t="s">
        <v>78</v>
      </c>
      <c r="C23" s="1" t="s">
        <v>79</v>
      </c>
      <c r="D23" s="1" t="s">
        <v>17</v>
      </c>
      <c r="E23" s="1">
        <v>115</v>
      </c>
      <c r="F23" s="1">
        <v>50</v>
      </c>
      <c r="G23" s="1">
        <v>150</v>
      </c>
      <c r="H23" s="1">
        <f t="shared" si="20"/>
        <v>315</v>
      </c>
      <c r="I23" s="1">
        <v>3</v>
      </c>
      <c r="J23" s="1">
        <f t="shared" si="21"/>
        <v>999</v>
      </c>
      <c r="K23" s="1">
        <v>2</v>
      </c>
      <c r="M23" s="1">
        <f t="shared" si="22"/>
        <v>2</v>
      </c>
      <c r="N23" s="1" t="s">
        <v>18</v>
      </c>
      <c r="O23" s="1" t="s">
        <v>81</v>
      </c>
    </row>
    <row r="24" spans="1:15" ht="60" customHeight="1" x14ac:dyDescent="0.3"/>
    <row r="25" spans="1:15" ht="60" customHeight="1" x14ac:dyDescent="0.3"/>
    <row r="26" spans="1:15" ht="60" customHeight="1" x14ac:dyDescent="0.3"/>
    <row r="27" spans="1:15" ht="60" customHeight="1" x14ac:dyDescent="0.3"/>
    <row r="28" spans="1:15" ht="60" customHeight="1" x14ac:dyDescent="0.3"/>
    <row r="29" spans="1:15" ht="60" customHeight="1" x14ac:dyDescent="0.3"/>
    <row r="30" spans="1:15" ht="60" customHeight="1" x14ac:dyDescent="0.3"/>
    <row r="31" spans="1:15" ht="60" customHeight="1" x14ac:dyDescent="0.3"/>
    <row r="32" spans="1:15" ht="60" customHeight="1" x14ac:dyDescent="0.3"/>
    <row r="33" ht="60" customHeight="1" x14ac:dyDescent="0.3"/>
    <row r="34" ht="60" customHeight="1" x14ac:dyDescent="0.3"/>
    <row r="35" ht="60" customHeight="1" x14ac:dyDescent="0.3"/>
    <row r="36" ht="60" customHeight="1" x14ac:dyDescent="0.3"/>
    <row r="37" ht="60" customHeight="1" x14ac:dyDescent="0.3"/>
    <row r="38" ht="60" customHeight="1" x14ac:dyDescent="0.3"/>
    <row r="39" ht="60" customHeight="1" x14ac:dyDescent="0.3"/>
    <row r="40" ht="60" customHeight="1" x14ac:dyDescent="0.3"/>
    <row r="41" ht="60" customHeight="1" x14ac:dyDescent="0.3"/>
    <row r="42" ht="60" customHeight="1" x14ac:dyDescent="0.3"/>
    <row r="43" ht="60" customHeight="1" x14ac:dyDescent="0.3"/>
    <row r="44" ht="60" customHeight="1" x14ac:dyDescent="0.3"/>
    <row r="45" ht="60" customHeight="1" x14ac:dyDescent="0.3"/>
    <row r="46" ht="60" customHeight="1" x14ac:dyDescent="0.3"/>
    <row r="47" ht="60" customHeight="1" x14ac:dyDescent="0.3"/>
    <row r="48" ht="60" customHeight="1" x14ac:dyDescent="0.3"/>
    <row r="49" ht="60" customHeight="1" x14ac:dyDescent="0.3"/>
    <row r="50" ht="60" customHeight="1" x14ac:dyDescent="0.3"/>
    <row r="51" ht="60" customHeight="1" x14ac:dyDescent="0.3"/>
    <row r="52" ht="60" customHeight="1" x14ac:dyDescent="0.3"/>
    <row r="53" ht="60" customHeight="1" x14ac:dyDescent="0.3"/>
    <row r="54" ht="60" customHeight="1" x14ac:dyDescent="0.3"/>
    <row r="55" ht="60" customHeight="1" x14ac:dyDescent="0.3"/>
    <row r="56" ht="60" customHeight="1" x14ac:dyDescent="0.3"/>
  </sheetData>
  <conditionalFormatting sqref="O1:O1048576">
    <cfRule type="duplicateValues" dxfId="0" priority="1"/>
  </conditionalFormatting>
  <pageMargins left="0.7" right="0.7" top="0.75" bottom="0.75" header="0.3" footer="0.3"/>
  <pageSetup paperSize="9" orientation="portrait" r:id="rId1"/>
  <ignoredErrors>
    <ignoredError sqref="H13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BB488-5BAD-4C68-B909-33D2B8028147}">
  <dimension ref="K7:M10"/>
  <sheetViews>
    <sheetView tabSelected="1" workbookViewId="0">
      <selection activeCell="M10" sqref="M10"/>
    </sheetView>
  </sheetViews>
  <sheetFormatPr defaultRowHeight="14.4" x14ac:dyDescent="0.3"/>
  <cols>
    <col min="12" max="12" width="8.44140625" bestFit="1" customWidth="1"/>
    <col min="13" max="13" width="11.109375" bestFit="1" customWidth="1"/>
  </cols>
  <sheetData>
    <row r="7" spans="11:13" x14ac:dyDescent="0.3">
      <c r="K7" t="s">
        <v>82</v>
      </c>
      <c r="L7" t="s">
        <v>83</v>
      </c>
      <c r="M7" t="s">
        <v>84</v>
      </c>
    </row>
    <row r="8" spans="11:13" x14ac:dyDescent="0.3">
      <c r="K8" t="s">
        <v>85</v>
      </c>
      <c r="L8" t="s">
        <v>86</v>
      </c>
      <c r="M8" t="s">
        <v>87</v>
      </c>
    </row>
    <row r="9" spans="11:13" x14ac:dyDescent="0.3">
      <c r="K9" t="s">
        <v>88</v>
      </c>
      <c r="L9" t="s">
        <v>89</v>
      </c>
      <c r="M9" t="s">
        <v>90</v>
      </c>
    </row>
    <row r="10" spans="11:13" x14ac:dyDescent="0.3">
      <c r="K10" t="s">
        <v>91</v>
      </c>
      <c r="L10" t="s">
        <v>92</v>
      </c>
      <c r="M10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inventory-ledger</vt:lpstr>
      <vt:lpstr>Box Size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Ahuja, Divyansh</dc:creator>
  <cp:lastModifiedBy>Ahuja, Divyansh</cp:lastModifiedBy>
  <dcterms:created xsi:type="dcterms:W3CDTF">2026-05-15T18:27:58Z</dcterms:created>
  <dcterms:modified xsi:type="dcterms:W3CDTF">2026-06-02T11:01:32Z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2026-05-15T18:29:45Z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ad762231-6505-4dcd-a953-205c62cd0979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