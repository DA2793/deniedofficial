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Business\"/>
    </mc:Choice>
  </mc:AlternateContent>
  <xr:revisionPtr revIDLastSave="0" documentId="13_ncr:1_{5E89FE95-67C9-433B-9478-E7DC544F0AF4}" xr6:coauthVersionLast="47" xr6:coauthVersionMax="47" xr10:uidLastSave="{00000000-0000-0000-0000-000000000000}"/>
  <bookViews>
    <workbookView xWindow="28680" yWindow="-120" windowWidth="29040" windowHeight="15720" xr2:uid="{3EA1E2F3-88D9-406C-AEBC-3B66D1D0E7C6}"/>
  </bookViews>
  <sheets>
    <sheet name="pricing-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E18" i="1"/>
  <c r="G18" i="1" s="1"/>
  <c r="E5" i="1"/>
  <c r="G5" i="1" s="1"/>
  <c r="E9" i="1"/>
  <c r="G9" i="1" s="1"/>
  <c r="E6" i="1"/>
  <c r="G6" i="1" s="1"/>
  <c r="E4" i="1"/>
  <c r="G4" i="1" s="1"/>
  <c r="E8" i="1"/>
  <c r="G8" i="1" s="1"/>
  <c r="E11" i="1"/>
  <c r="G11" i="1" s="1"/>
  <c r="E15" i="1"/>
  <c r="G15" i="1" s="1"/>
  <c r="E14" i="1"/>
  <c r="G14" i="1" s="1"/>
  <c r="E3" i="1"/>
  <c r="E2" i="1"/>
  <c r="G2" i="1" s="1"/>
  <c r="E10" i="1"/>
  <c r="G10" i="1" s="1"/>
  <c r="E13" i="1"/>
  <c r="G13" i="1" s="1"/>
  <c r="E12" i="1"/>
  <c r="G12" i="1" s="1"/>
  <c r="E17" i="1"/>
  <c r="G17" i="1" s="1"/>
  <c r="E16" i="1"/>
  <c r="G16" i="1" s="1"/>
  <c r="E7" i="1"/>
  <c r="G7" i="1" s="1"/>
  <c r="L18" i="1" l="1"/>
  <c r="H18" i="1"/>
  <c r="I18" i="1" s="1"/>
  <c r="J18" i="1" s="1"/>
  <c r="K18" i="1" s="1"/>
  <c r="L5" i="1"/>
  <c r="H5" i="1"/>
  <c r="I5" i="1" s="1"/>
  <c r="J5" i="1" s="1"/>
  <c r="K5" i="1" s="1"/>
  <c r="L9" i="1"/>
  <c r="H9" i="1"/>
  <c r="I9" i="1" s="1"/>
  <c r="J9" i="1" s="1"/>
  <c r="K9" i="1" s="1"/>
  <c r="L6" i="1"/>
  <c r="H6" i="1"/>
  <c r="I6" i="1" s="1"/>
  <c r="J6" i="1" s="1"/>
  <c r="K6" i="1" s="1"/>
  <c r="L4" i="1"/>
  <c r="H4" i="1"/>
  <c r="I4" i="1" s="1"/>
  <c r="J4" i="1" s="1"/>
  <c r="K4" i="1" s="1"/>
  <c r="L8" i="1"/>
  <c r="H8" i="1"/>
  <c r="I8" i="1" s="1"/>
  <c r="J8" i="1" s="1"/>
  <c r="K8" i="1" s="1"/>
  <c r="L11" i="1"/>
  <c r="H11" i="1"/>
  <c r="I11" i="1" s="1"/>
  <c r="J11" i="1" s="1"/>
  <c r="K11" i="1" s="1"/>
  <c r="L15" i="1"/>
  <c r="H15" i="1"/>
  <c r="I15" i="1" s="1"/>
  <c r="J15" i="1" s="1"/>
  <c r="K15" i="1" s="1"/>
  <c r="L14" i="1"/>
  <c r="H14" i="1"/>
  <c r="I14" i="1" s="1"/>
  <c r="J14" i="1" s="1"/>
  <c r="K14" i="1" s="1"/>
  <c r="L3" i="1"/>
  <c r="H3" i="1"/>
  <c r="I3" i="1" s="1"/>
  <c r="J3" i="1" s="1"/>
  <c r="K3" i="1" s="1"/>
  <c r="L2" i="1"/>
  <c r="H2" i="1"/>
  <c r="I2" i="1" s="1"/>
  <c r="J2" i="1" s="1"/>
  <c r="K2" i="1" s="1"/>
  <c r="L10" i="1"/>
  <c r="H10" i="1"/>
  <c r="I10" i="1" s="1"/>
  <c r="J10" i="1" s="1"/>
  <c r="K10" i="1" s="1"/>
  <c r="L13" i="1"/>
  <c r="H13" i="1"/>
  <c r="I13" i="1" s="1"/>
  <c r="J13" i="1" s="1"/>
  <c r="K13" i="1" s="1"/>
  <c r="H12" i="1"/>
  <c r="I12" i="1" s="1"/>
  <c r="J12" i="1" s="1"/>
  <c r="K12" i="1" s="1"/>
  <c r="L12" i="1"/>
  <c r="L17" i="1"/>
  <c r="H17" i="1"/>
  <c r="I17" i="1" s="1"/>
  <c r="J17" i="1" s="1"/>
  <c r="K17" i="1" s="1"/>
  <c r="L7" i="1"/>
  <c r="H7" i="1"/>
  <c r="I7" i="1" s="1"/>
  <c r="J7" i="1" s="1"/>
  <c r="K7" i="1" s="1"/>
  <c r="L16" i="1"/>
  <c r="H16" i="1"/>
  <c r="I16" i="1" s="1"/>
  <c r="J16" i="1" s="1"/>
  <c r="K16" i="1" s="1"/>
</calcChain>
</file>

<file path=xl/sharedStrings.xml><?xml version="1.0" encoding="utf-8"?>
<sst xmlns="http://schemas.openxmlformats.org/spreadsheetml/2006/main" count="18" uniqueCount="18">
  <si>
    <t>Product Name</t>
  </si>
  <si>
    <t>Markup (x)</t>
  </si>
  <si>
    <t>Margin %</t>
  </si>
  <si>
    <t>Price Point (rounded)</t>
  </si>
  <si>
    <t>Supplier Cost</t>
  </si>
  <si>
    <t>Packaging Cost</t>
  </si>
  <si>
    <t>Shipping Cost</t>
  </si>
  <si>
    <t>Total Cost</t>
  </si>
  <si>
    <t>Selling Price</t>
  </si>
  <si>
    <t>Gateway Fee 2%</t>
  </si>
  <si>
    <t>Net Revenue</t>
  </si>
  <si>
    <t>Ideal Profit</t>
  </si>
  <si>
    <t>Signature Oversized</t>
  </si>
  <si>
    <t>Skeleton Acid Wash</t>
  </si>
  <si>
    <t>Polo Signature</t>
  </si>
  <si>
    <t>Manual vs Auto</t>
  </si>
  <si>
    <t>BaseBall Ottoman Cap</t>
  </si>
  <si>
    <t>Snapback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</si>
</sst>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D7B8-8219-4BAB-B946-0AD4DC2CA2E3}">
  <dimension ref="A1:L18"/>
  <sheetViews>
    <sheetView tabSelected="1" workbookViewId="0">
      <selection activeCell="F4" sqref="F4"/>
    </sheetView>
  </sheetViews>
  <sheetFormatPr defaultRowHeight="14.4" x14ac:dyDescent="0.3"/>
  <cols>
    <col min="1" max="1" width="20.44140625" bestFit="1" customWidth="1"/>
    <col min="2" max="2" width="16.5546875" bestFit="1" customWidth="1"/>
    <col min="3" max="3" width="18.44140625" bestFit="1" customWidth="1"/>
    <col min="4" max="4" width="20.44140625" bestFit="1" customWidth="1"/>
    <col min="5" max="5" width="13.77734375" bestFit="1" customWidth="1"/>
    <col min="6" max="6" width="10.109375" bestFit="1" customWidth="1"/>
    <col min="7" max="7" width="15.6640625" bestFit="1" customWidth="1"/>
    <col min="8" max="8" width="18.88671875" bestFit="1" customWidth="1"/>
    <col min="9" max="9" width="15.6640625" bestFit="1" customWidth="1"/>
    <col min="10" max="10" width="10.5546875" bestFit="1" customWidth="1"/>
    <col min="12" max="12" width="19.44140625" bestFit="1" customWidth="1"/>
  </cols>
  <sheetData>
    <row r="1" spans="1:12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2</v>
      </c>
      <c r="L1" s="2" t="s">
        <v>3</v>
      </c>
    </row>
    <row r="2" spans="1:12" x14ac:dyDescent="0.3">
      <c r="A2" t="s">
        <v>12</v>
      </c>
      <c r="B2">
        <v>520</v>
      </c>
      <c r="C2">
        <v>50</v>
      </c>
      <c r="D2">
        <v>100</v>
      </c>
      <c r="E2">
        <f t="shared" ref="E2:E17" si="0">B2+C2+D2</f>
        <v>670</v>
      </c>
      <c r="F2">
        <v>1.5</v>
      </c>
      <c r="G2">
        <f>ROUNDUP((E2*F2)/200,0)*200-1</f>
        <v>1199</v>
      </c>
      <c r="H2">
        <f t="shared" ref="H2:H18" si="1">G2*2%</f>
        <v>23.98</v>
      </c>
      <c r="I2">
        <f t="shared" ref="I2:I17" si="2">G2-H2</f>
        <v>1175.02</v>
      </c>
      <c r="J2">
        <f t="shared" ref="J2:J17" si="3">I2-E2</f>
        <v>505.02</v>
      </c>
      <c r="K2" s="1">
        <f t="shared" ref="K2:K17" si="4">J2/G2</f>
        <v>0.42120100083402834</v>
      </c>
      <c r="L2" t="str">
        <f t="shared" ref="L2:L17" si="5">"₹"&amp;TEXT(G2,"#,##0")</f>
        <v>₹1,199</v>
      </c>
    </row>
    <row r="3" spans="1:12" x14ac:dyDescent="0.3">
      <c r="A3" t="s">
        <v>13</v>
      </c>
      <c r="C3">
        <v>50</v>
      </c>
      <c r="D3">
        <v>100</v>
      </c>
      <c r="E3">
        <f t="shared" si="0"/>
        <v>150</v>
      </c>
      <c r="F3">
        <v>3</v>
      </c>
      <c r="G3">
        <f t="shared" ref="G2:G17" si="6">ROUNDUP((E3*F3)/500,0)*500-1</f>
        <v>499</v>
      </c>
      <c r="H3">
        <f t="shared" si="1"/>
        <v>9.98</v>
      </c>
      <c r="I3">
        <f t="shared" si="2"/>
        <v>489.02</v>
      </c>
      <c r="J3">
        <f t="shared" si="3"/>
        <v>339.02</v>
      </c>
      <c r="K3" s="1">
        <f t="shared" si="4"/>
        <v>0.6793987975951904</v>
      </c>
      <c r="L3" t="str">
        <f t="shared" si="5"/>
        <v>₹499</v>
      </c>
    </row>
    <row r="4" spans="1:12" x14ac:dyDescent="0.3">
      <c r="A4" t="s">
        <v>14</v>
      </c>
      <c r="B4">
        <v>510</v>
      </c>
      <c r="C4">
        <v>50</v>
      </c>
      <c r="D4">
        <v>100</v>
      </c>
      <c r="E4">
        <f t="shared" si="0"/>
        <v>660</v>
      </c>
      <c r="F4">
        <v>2</v>
      </c>
      <c r="G4">
        <f t="shared" si="6"/>
        <v>1499</v>
      </c>
      <c r="H4">
        <f t="shared" si="1"/>
        <v>29.98</v>
      </c>
      <c r="I4">
        <f t="shared" si="2"/>
        <v>1469.02</v>
      </c>
      <c r="J4">
        <f t="shared" si="3"/>
        <v>809.02</v>
      </c>
      <c r="K4" s="1">
        <f t="shared" si="4"/>
        <v>0.53970647098065372</v>
      </c>
      <c r="L4" t="str">
        <f t="shared" si="5"/>
        <v>₹1,499</v>
      </c>
    </row>
    <row r="5" spans="1:12" x14ac:dyDescent="0.3">
      <c r="A5" t="s">
        <v>15</v>
      </c>
      <c r="C5">
        <v>50</v>
      </c>
      <c r="D5">
        <v>100</v>
      </c>
      <c r="E5">
        <f t="shared" si="0"/>
        <v>150</v>
      </c>
      <c r="F5">
        <v>2</v>
      </c>
      <c r="G5">
        <f t="shared" si="6"/>
        <v>499</v>
      </c>
      <c r="H5">
        <f t="shared" si="1"/>
        <v>9.98</v>
      </c>
      <c r="I5">
        <f t="shared" si="2"/>
        <v>489.02</v>
      </c>
      <c r="J5">
        <f t="shared" si="3"/>
        <v>339.02</v>
      </c>
      <c r="K5" s="1">
        <f t="shared" si="4"/>
        <v>0.6793987975951904</v>
      </c>
      <c r="L5" t="str">
        <f t="shared" si="5"/>
        <v>₹499</v>
      </c>
    </row>
    <row r="6" spans="1:12" x14ac:dyDescent="0.3">
      <c r="A6" t="s">
        <v>16</v>
      </c>
      <c r="C6">
        <v>50</v>
      </c>
      <c r="D6">
        <v>100</v>
      </c>
      <c r="E6">
        <f t="shared" si="0"/>
        <v>150</v>
      </c>
      <c r="F6">
        <v>2.5</v>
      </c>
      <c r="G6">
        <f t="shared" si="6"/>
        <v>499</v>
      </c>
      <c r="H6">
        <f t="shared" si="1"/>
        <v>9.98</v>
      </c>
      <c r="I6">
        <f t="shared" si="2"/>
        <v>489.02</v>
      </c>
      <c r="J6">
        <f t="shared" si="3"/>
        <v>339.02</v>
      </c>
      <c r="K6" s="1">
        <f t="shared" si="4"/>
        <v>0.6793987975951904</v>
      </c>
      <c r="L6" t="str">
        <f t="shared" si="5"/>
        <v>₹499</v>
      </c>
    </row>
    <row r="7" spans="1:12" x14ac:dyDescent="0.3">
      <c r="A7" t="s">
        <v>17</v>
      </c>
      <c r="C7">
        <v>50</v>
      </c>
      <c r="D7">
        <v>100</v>
      </c>
      <c r="E7">
        <f t="shared" si="0"/>
        <v>150</v>
      </c>
      <c r="F7">
        <v>3</v>
      </c>
      <c r="G7">
        <f t="shared" si="6"/>
        <v>499</v>
      </c>
      <c r="H7">
        <f t="shared" si="1"/>
        <v>9.98</v>
      </c>
      <c r="I7">
        <f t="shared" si="2"/>
        <v>489.02</v>
      </c>
      <c r="J7">
        <f t="shared" si="3"/>
        <v>339.02</v>
      </c>
      <c r="K7" s="1">
        <f t="shared" si="4"/>
        <v>0.6793987975951904</v>
      </c>
      <c r="L7" t="str">
        <f t="shared" si="5"/>
        <v>₹499</v>
      </c>
    </row>
    <row r="8" spans="1:12" x14ac:dyDescent="0.3">
      <c r="C8">
        <v>50</v>
      </c>
      <c r="D8">
        <v>100</v>
      </c>
      <c r="E8">
        <f t="shared" si="0"/>
        <v>150</v>
      </c>
      <c r="F8">
        <v>3</v>
      </c>
      <c r="G8">
        <f t="shared" si="6"/>
        <v>499</v>
      </c>
      <c r="H8">
        <f t="shared" si="1"/>
        <v>9.98</v>
      </c>
      <c r="I8">
        <f t="shared" si="2"/>
        <v>489.02</v>
      </c>
      <c r="J8">
        <f t="shared" si="3"/>
        <v>339.02</v>
      </c>
      <c r="K8" s="1">
        <f t="shared" si="4"/>
        <v>0.6793987975951904</v>
      </c>
      <c r="L8" t="str">
        <f t="shared" si="5"/>
        <v>₹499</v>
      </c>
    </row>
    <row r="9" spans="1:12" x14ac:dyDescent="0.3">
      <c r="C9">
        <v>50</v>
      </c>
      <c r="D9">
        <v>100</v>
      </c>
      <c r="E9">
        <f t="shared" si="0"/>
        <v>150</v>
      </c>
      <c r="F9">
        <v>2.5</v>
      </c>
      <c r="G9">
        <f t="shared" si="6"/>
        <v>499</v>
      </c>
      <c r="H9">
        <f t="shared" si="1"/>
        <v>9.98</v>
      </c>
      <c r="I9">
        <f t="shared" si="2"/>
        <v>489.02</v>
      </c>
      <c r="J9">
        <f t="shared" si="3"/>
        <v>339.02</v>
      </c>
      <c r="K9" s="1">
        <f t="shared" si="4"/>
        <v>0.6793987975951904</v>
      </c>
      <c r="L9" t="str">
        <f t="shared" si="5"/>
        <v>₹499</v>
      </c>
    </row>
    <row r="10" spans="1:12" x14ac:dyDescent="0.3">
      <c r="C10">
        <v>50</v>
      </c>
      <c r="D10">
        <v>100</v>
      </c>
      <c r="E10">
        <f t="shared" si="0"/>
        <v>150</v>
      </c>
      <c r="F10">
        <v>3</v>
      </c>
      <c r="G10">
        <f t="shared" si="6"/>
        <v>499</v>
      </c>
      <c r="H10">
        <f t="shared" si="1"/>
        <v>9.98</v>
      </c>
      <c r="I10">
        <f t="shared" si="2"/>
        <v>489.02</v>
      </c>
      <c r="J10">
        <f t="shared" si="3"/>
        <v>339.02</v>
      </c>
      <c r="K10" s="1">
        <f t="shared" si="4"/>
        <v>0.6793987975951904</v>
      </c>
      <c r="L10" t="str">
        <f t="shared" si="5"/>
        <v>₹499</v>
      </c>
    </row>
    <row r="11" spans="1:12" x14ac:dyDescent="0.3">
      <c r="C11">
        <v>50</v>
      </c>
      <c r="D11">
        <v>100</v>
      </c>
      <c r="E11">
        <f t="shared" si="0"/>
        <v>150</v>
      </c>
      <c r="F11">
        <v>3</v>
      </c>
      <c r="G11">
        <f t="shared" si="6"/>
        <v>499</v>
      </c>
      <c r="H11">
        <f t="shared" si="1"/>
        <v>9.98</v>
      </c>
      <c r="I11">
        <f t="shared" si="2"/>
        <v>489.02</v>
      </c>
      <c r="J11">
        <f t="shared" si="3"/>
        <v>339.02</v>
      </c>
      <c r="K11" s="1">
        <f t="shared" si="4"/>
        <v>0.6793987975951904</v>
      </c>
      <c r="L11" t="str">
        <f t="shared" si="5"/>
        <v>₹499</v>
      </c>
    </row>
    <row r="12" spans="1:12" x14ac:dyDescent="0.3">
      <c r="C12">
        <v>30</v>
      </c>
      <c r="D12">
        <v>100</v>
      </c>
      <c r="E12">
        <f t="shared" si="0"/>
        <v>130</v>
      </c>
      <c r="F12">
        <v>3</v>
      </c>
      <c r="G12">
        <f t="shared" si="6"/>
        <v>499</v>
      </c>
      <c r="H12">
        <f t="shared" si="1"/>
        <v>9.98</v>
      </c>
      <c r="I12">
        <f t="shared" si="2"/>
        <v>489.02</v>
      </c>
      <c r="J12">
        <f t="shared" si="3"/>
        <v>359.02</v>
      </c>
      <c r="K12" s="1">
        <f t="shared" si="4"/>
        <v>0.71947895791583161</v>
      </c>
      <c r="L12" t="str">
        <f t="shared" si="5"/>
        <v>₹499</v>
      </c>
    </row>
    <row r="13" spans="1:12" x14ac:dyDescent="0.3">
      <c r="C13">
        <v>30</v>
      </c>
      <c r="D13">
        <v>100</v>
      </c>
      <c r="E13">
        <f t="shared" si="0"/>
        <v>130</v>
      </c>
      <c r="F13">
        <v>1.75</v>
      </c>
      <c r="G13">
        <f t="shared" si="6"/>
        <v>499</v>
      </c>
      <c r="H13">
        <f t="shared" si="1"/>
        <v>9.98</v>
      </c>
      <c r="I13">
        <f t="shared" si="2"/>
        <v>489.02</v>
      </c>
      <c r="J13">
        <f t="shared" si="3"/>
        <v>359.02</v>
      </c>
      <c r="K13" s="1">
        <f t="shared" si="4"/>
        <v>0.71947895791583161</v>
      </c>
      <c r="L13" t="str">
        <f t="shared" si="5"/>
        <v>₹499</v>
      </c>
    </row>
    <row r="14" spans="1:12" x14ac:dyDescent="0.3">
      <c r="C14">
        <v>50</v>
      </c>
      <c r="D14">
        <v>100</v>
      </c>
      <c r="E14">
        <f t="shared" si="0"/>
        <v>150</v>
      </c>
      <c r="F14">
        <v>3</v>
      </c>
      <c r="G14">
        <f t="shared" si="6"/>
        <v>499</v>
      </c>
      <c r="H14">
        <f t="shared" si="1"/>
        <v>9.98</v>
      </c>
      <c r="I14">
        <f t="shared" si="2"/>
        <v>489.02</v>
      </c>
      <c r="J14">
        <f t="shared" si="3"/>
        <v>339.02</v>
      </c>
      <c r="K14" s="1">
        <f t="shared" si="4"/>
        <v>0.6793987975951904</v>
      </c>
      <c r="L14" t="str">
        <f t="shared" si="5"/>
        <v>₹499</v>
      </c>
    </row>
    <row r="15" spans="1:12" x14ac:dyDescent="0.3">
      <c r="C15">
        <v>50</v>
      </c>
      <c r="D15">
        <v>100</v>
      </c>
      <c r="E15">
        <f t="shared" si="0"/>
        <v>150</v>
      </c>
      <c r="F15">
        <v>3</v>
      </c>
      <c r="G15">
        <f t="shared" si="6"/>
        <v>499</v>
      </c>
      <c r="H15">
        <f t="shared" si="1"/>
        <v>9.98</v>
      </c>
      <c r="I15">
        <f t="shared" si="2"/>
        <v>489.02</v>
      </c>
      <c r="J15">
        <f t="shared" si="3"/>
        <v>339.02</v>
      </c>
      <c r="K15" s="1">
        <f t="shared" si="4"/>
        <v>0.6793987975951904</v>
      </c>
      <c r="L15" t="str">
        <f t="shared" si="5"/>
        <v>₹499</v>
      </c>
    </row>
    <row r="16" spans="1:12" x14ac:dyDescent="0.3">
      <c r="C16">
        <v>50</v>
      </c>
      <c r="D16">
        <v>100</v>
      </c>
      <c r="E16">
        <f t="shared" si="0"/>
        <v>150</v>
      </c>
      <c r="F16">
        <v>3</v>
      </c>
      <c r="G16">
        <f t="shared" si="6"/>
        <v>499</v>
      </c>
      <c r="H16">
        <f t="shared" si="1"/>
        <v>9.98</v>
      </c>
      <c r="I16">
        <f t="shared" si="2"/>
        <v>489.02</v>
      </c>
      <c r="J16">
        <f t="shared" si="3"/>
        <v>339.02</v>
      </c>
      <c r="K16" s="1">
        <f t="shared" si="4"/>
        <v>0.6793987975951904</v>
      </c>
      <c r="L16" t="str">
        <f t="shared" si="5"/>
        <v>₹499</v>
      </c>
    </row>
    <row r="17" spans="3:12" x14ac:dyDescent="0.3">
      <c r="C17">
        <v>50</v>
      </c>
      <c r="D17">
        <v>100</v>
      </c>
      <c r="E17">
        <f t="shared" si="0"/>
        <v>150</v>
      </c>
      <c r="F17">
        <v>3</v>
      </c>
      <c r="G17">
        <f t="shared" si="6"/>
        <v>499</v>
      </c>
      <c r="H17">
        <f t="shared" si="1"/>
        <v>9.98</v>
      </c>
      <c r="I17">
        <f t="shared" si="2"/>
        <v>489.02</v>
      </c>
      <c r="J17">
        <f t="shared" si="3"/>
        <v>339.02</v>
      </c>
      <c r="K17" s="1">
        <f t="shared" si="4"/>
        <v>0.6793987975951904</v>
      </c>
      <c r="L17" t="str">
        <f t="shared" si="5"/>
        <v>₹499</v>
      </c>
    </row>
    <row r="18" spans="3:12" x14ac:dyDescent="0.3">
      <c r="C18">
        <v>50</v>
      </c>
      <c r="D18">
        <v>100</v>
      </c>
      <c r="E18">
        <f t="shared" ref="E18" si="7">B18+C18+D18</f>
        <v>150</v>
      </c>
      <c r="F18">
        <v>3</v>
      </c>
      <c r="G18">
        <f t="shared" ref="G18" si="8">ROUNDUP((E18*F18)/500,0)*500-1</f>
        <v>499</v>
      </c>
      <c r="H18">
        <f t="shared" si="1"/>
        <v>9.98</v>
      </c>
      <c r="I18">
        <f t="shared" ref="I18" si="9">G18-H18</f>
        <v>489.02</v>
      </c>
      <c r="J18">
        <f t="shared" ref="J18" si="10">I18-E18</f>
        <v>339.02</v>
      </c>
      <c r="K18" s="1">
        <f t="shared" ref="K18" si="11">J18/G18</f>
        <v>0.6793987975951904</v>
      </c>
      <c r="L18" t="str">
        <f t="shared" ref="L18" si="12">"₹"&amp;TEXT(G18,"#,##0")</f>
        <v>₹499</v>
      </c>
    </row>
  </sheetData>
  <sortState xmlns:xlrd2="http://schemas.microsoft.com/office/spreadsheetml/2017/richdata2" ref="A2:L17">
    <sortCondition ref="G2:G1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pricing-calculator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2026-05-15T18:39:39Z</dcterms:created>
  <dcterms:modified xsi:type="dcterms:W3CDTF">2026-06-12T02:00:37Z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2026-05-15T18:42:38Z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692a3a70-8589-411c-8149-1a774c8182cc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